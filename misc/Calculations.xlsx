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zieske/Projects/Code/SeaPower-Calculator/"/>
    </mc:Choice>
  </mc:AlternateContent>
  <xr:revisionPtr revIDLastSave="0" documentId="13_ncr:1_{F697BC85-0623-CC47-B638-5523EDD321D8}" xr6:coauthVersionLast="47" xr6:coauthVersionMax="47" xr10:uidLastSave="{00000000-0000-0000-0000-000000000000}"/>
  <bookViews>
    <workbookView xWindow="0" yWindow="700" windowWidth="34200" windowHeight="19960" xr2:uid="{74884F02-C260-0148-8721-43FDDABF15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E7" i="1"/>
  <c r="D7" i="1"/>
  <c r="D6" i="1"/>
  <c r="E6" i="1" s="1"/>
  <c r="D2" i="1"/>
  <c r="E2" i="1" s="1"/>
  <c r="E3" i="1" s="1"/>
  <c r="D3" i="1" s="1"/>
  <c r="C3" i="1" s="1"/>
</calcChain>
</file>

<file path=xl/sharedStrings.xml><?xml version="1.0" encoding="utf-8"?>
<sst xmlns="http://schemas.openxmlformats.org/spreadsheetml/2006/main" count="12" uniqueCount="10">
  <si>
    <t>Weapon</t>
  </si>
  <si>
    <t>usn_agm-84d</t>
  </si>
  <si>
    <t>wp_ss-n-22</t>
  </si>
  <si>
    <t>knots  = nm/h</t>
  </si>
  <si>
    <t>Speed (knots)</t>
  </si>
  <si>
    <t>Range (nm)</t>
  </si>
  <si>
    <t>Flight Time (h)</t>
  </si>
  <si>
    <t>Flight Time (min)</t>
  </si>
  <si>
    <t>Time delta (min)</t>
  </si>
  <si>
    <t>Time delta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</si>
</sst>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9CD4-141B-B04C-8191-E221131DA5F2}">
  <dimension ref="A1:H7"/>
  <sheetViews>
    <sheetView tabSelected="1" zoomScale="133" workbookViewId="0">
      <selection activeCell="H13" sqref="H13"/>
    </sheetView>
  </sheetViews>
  <sheetFormatPr baseColWidth="10" defaultRowHeight="16" x14ac:dyDescent="0.2"/>
  <cols>
    <col min="1" max="1" width="11.83203125" bestFit="1" customWidth="1"/>
    <col min="2" max="2" width="12.1640625" bestFit="1" customWidth="1"/>
    <col min="3" max="3" width="10.33203125" bestFit="1" customWidth="1"/>
    <col min="4" max="4" width="12.5" bestFit="1" customWidth="1"/>
    <col min="5" max="5" width="14.5" bestFit="1" customWidth="1"/>
    <col min="6" max="6" width="14.1640625" bestFit="1" customWidth="1"/>
    <col min="7" max="7" width="14" bestFit="1" customWidth="1"/>
    <col min="8" max="8" width="11.6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8" x14ac:dyDescent="0.2">
      <c r="A2" t="s">
        <v>1</v>
      </c>
      <c r="B2">
        <v>540</v>
      </c>
      <c r="C2">
        <v>50</v>
      </c>
      <c r="D2">
        <f>C2/B2</f>
        <v>9.2592592592592587E-2</v>
      </c>
      <c r="E2">
        <f>D2*60</f>
        <v>5.5555555555555554</v>
      </c>
      <c r="H2" t="s">
        <v>3</v>
      </c>
    </row>
    <row r="3" spans="1:8" x14ac:dyDescent="0.2">
      <c r="A3" t="s">
        <v>2</v>
      </c>
      <c r="B3">
        <v>1250</v>
      </c>
      <c r="C3" s="1">
        <f>B3*D3</f>
        <v>115.74074074074073</v>
      </c>
      <c r="D3">
        <f>E3/60</f>
        <v>9.2592592592592587E-2</v>
      </c>
      <c r="E3">
        <f>E2</f>
        <v>5.5555555555555554</v>
      </c>
    </row>
    <row r="5" spans="1:8" x14ac:dyDescent="0.2">
      <c r="F5" t="s">
        <v>8</v>
      </c>
      <c r="G5" t="s">
        <v>9</v>
      </c>
    </row>
    <row r="6" spans="1:8" x14ac:dyDescent="0.2">
      <c r="A6" t="s">
        <v>1</v>
      </c>
      <c r="B6">
        <v>540</v>
      </c>
      <c r="C6">
        <v>50</v>
      </c>
      <c r="D6">
        <f>C6/B6</f>
        <v>9.2592592592592587E-2</v>
      </c>
      <c r="E6">
        <f>D6*60</f>
        <v>5.5555555555555554</v>
      </c>
    </row>
    <row r="7" spans="1:8" x14ac:dyDescent="0.2">
      <c r="A7" t="s">
        <v>2</v>
      </c>
      <c r="B7">
        <v>1250</v>
      </c>
      <c r="C7" s="2">
        <v>130</v>
      </c>
      <c r="D7">
        <f>C7/B7</f>
        <v>0.104</v>
      </c>
      <c r="E7">
        <f>D7*60</f>
        <v>6.2399999999999993</v>
      </c>
      <c r="F7" s="1">
        <f>E7-E6</f>
        <v>0.68444444444444397</v>
      </c>
      <c r="G7" s="1">
        <f>F7*60</f>
        <v>41.066666666666634</v>
      </c>
    </row>
  </sheetData>
  <pageMargins left="0.7" right="0.7" top="0.75" bottom="0.75" header="0.3" footer="0.3"/>
  <pageSetup paperSize="9" orientation="portrait" horizontalDpi="0" verticalDpi="0"/>
  <ignoredErrors>
    <ignoredError sqref="F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Zieske</dc:creator>
  <cp:lastModifiedBy>Steven Zieske</cp:lastModifiedBy>
  <dcterms:created xsi:type="dcterms:W3CDTF">2025-12-23T14:31:08Z</dcterms:created>
  <dcterms:modified xsi:type="dcterms:W3CDTF">2025-12-23T16:04:56Z</dcterms:modified>
</cp:coreProperties>
</file>